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rena\Downloads\gonzaloPersonal\CAPSTONE\Subir\Grupal\"/>
    </mc:Choice>
  </mc:AlternateContent>
  <xr:revisionPtr revIDLastSave="0" documentId="13_ncr:1_{A397B3A1-1EA2-4648-9323-546209123832}"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7" i="1" l="1"/>
  <c r="C58" i="1" s="1"/>
  <c r="C46" i="1"/>
  <c r="D57" i="1"/>
  <c r="F13" i="1"/>
  <c r="C47" i="1"/>
  <c r="J56" i="1"/>
  <c r="K56" i="1" s="1"/>
  <c r="H56" i="1"/>
  <c r="I56" i="1" s="1"/>
  <c r="F56" i="1"/>
  <c r="G56" i="1" s="1"/>
  <c r="J55" i="1"/>
  <c r="K55" i="1" s="1"/>
  <c r="H55" i="1"/>
  <c r="I55" i="1" s="1"/>
  <c r="F55" i="1"/>
  <c r="G55" i="1" s="1"/>
  <c r="J54" i="1"/>
  <c r="K54" i="1" s="1"/>
  <c r="H54" i="1"/>
  <c r="I54" i="1" s="1"/>
  <c r="F54" i="1"/>
  <c r="G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D14" i="1"/>
  <c r="E14" i="1" s="1"/>
  <c r="D15" i="1"/>
  <c r="E15" i="1" s="1"/>
  <c r="D16" i="1"/>
  <c r="E16" i="1" s="1"/>
  <c r="D18" i="1"/>
  <c r="E18" i="1" s="1"/>
  <c r="D22" i="1"/>
  <c r="E22" i="1" s="1"/>
  <c r="F20" i="1"/>
  <c r="G20" i="1" s="1"/>
  <c r="F21" i="1"/>
  <c r="G21" i="1" s="1"/>
  <c r="D5" i="1" l="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E6" i="1"/>
  <c r="C5" i="1"/>
  <c r="E5" i="1" s="1"/>
  <c r="C4" i="1"/>
  <c r="E4" i="1" l="1"/>
</calcChain>
</file>

<file path=xl/sharedStrings.xml><?xml version="1.0" encoding="utf-8"?>
<sst xmlns="http://schemas.openxmlformats.org/spreadsheetml/2006/main" count="160" uniqueCount="99">
  <si>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</si>
  <si>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</si>
  <si>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</si>
  <si>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</si>
  <si>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</si>
  <si>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</si>
  <si>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</si>
  <si>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</si>
  <si>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</si>
  <si>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</si>
  <si>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</si>
  <si>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</si>
  <si>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</si>
  <si>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</si>
  <si>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</si>
  <si>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</si>
  <si>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</si>
  <si>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</si>
  <si>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</si>
  <si>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</si>
  <si>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</si>
  <si>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</si>
  <si>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</si>
  <si>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</si>
  <si>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</si>
  <si>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</si>
  <si>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</si>
  <si>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</si>
  <si>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</si>
  <si>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</si>
  <si>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</si>
  <si>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</si>
  <si>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</si>
  <si>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</si>
  <si>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</si>
  <si>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</si>
  <si>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</si>
  <si>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</si>
  <si>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</si>
  <si>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</si>
  <si>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</si>
  <si>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</si>
  <si>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</si>
  <si>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</si>
  <si>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</si>
  <si>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</si>
  <si>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</si>
  <si>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</si>
  <si>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</si>
  <si>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</si>
  <si>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</si>
  <si>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</si>
  <si>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</si>
  <si>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</si>
  <si>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</si>
  <si>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</si>
  <si>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</si>
  <si>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</si>
  <si>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</si>
  <si>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</si>
  <si>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</si>
  <si>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</si>
  <si>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</si>
  <si>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</si>
  <si>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</si>
  <si>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</si>
  <si>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</si>
  <si>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</si>
  <si>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</si>
  <si>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</si>
  <si>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</si>
  <si>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</si>
  <si>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</si>
  <si>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</si>
  <si>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</si>
  <si>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</si>
  <si>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</si>
  <si>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</si>
  <si>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</si>
  <si>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</si>
  <si>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</si>
  <si>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</si>
  <si>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</si>
  <si>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</si>
  <si>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</si>
  <si>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</si>
  <si>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</si>
  <si>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</si>
  <si>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</si>
  <si>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</si>
  <si>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</si>
  <si>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</si>
  <si>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</si>
  <si>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</si>
  <si>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</si>
  <si>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</si>
  <si>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Gonzalo Arenas Molina</t>
  </si>
  <si>
    <t>Joaquin Romero Cardenas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</si>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</sst>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58" zoomScaleNormal="100" workbookViewId="0">
      <selection activeCell="D60" sqref="D6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97</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c r="C6" s="6"/>
      <c r="D6" s="6"/>
      <c r="E6" s="43">
        <f t="shared" si="0"/>
        <v>0</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
        <v>95</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tr">
        <f t="shared" ref="D14:D16" si="5">IF($C14=CL,"X","")</f>
        <v>X</v>
      </c>
      <c r="E14" s="16">
        <f t="shared" ref="E14" si="6">IF(D14="X",100*0.05,"")</f>
        <v>5</v>
      </c>
      <c r="F14" s="16" t="str">
        <f t="shared" si="1"/>
        <v/>
      </c>
      <c r="G14" s="16" t="str">
        <f t="shared" ref="G14" si="7">IF(F14="X",60*0.05,"")</f>
        <v/>
      </c>
      <c r="H14" s="16" t="str">
        <f t="shared" si="2"/>
        <v/>
      </c>
      <c r="I14" s="16" t="str">
        <f t="shared" ref="I14" si="8">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t="str">
        <f t="shared" si="5"/>
        <v>X</v>
      </c>
      <c r="E15" s="16">
        <f t="shared" ref="E15:E21" si="9">IF(D15="X",100*0.05,"")</f>
        <v>5</v>
      </c>
      <c r="F15" s="16" t="str">
        <f t="shared" si="1"/>
        <v/>
      </c>
      <c r="G15" s="16" t="str">
        <f t="shared" ref="G15:G21" si="10">IF(F15="X",60*0.05,"")</f>
        <v/>
      </c>
      <c r="H15" s="16" t="str">
        <f t="shared" si="2"/>
        <v/>
      </c>
      <c r="I15" s="16" t="str">
        <f t="shared" ref="I15:I21" si="11">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t="str">
        <f t="shared" si="5"/>
        <v>X</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1"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Joaquin Romero Cardenas</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1"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Gonzalo Arenas Molina</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6.1"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6.1" customHeight="1" x14ac:dyDescent="0.25">
      <c r="A54" s="61"/>
      <c r="B54" s="35" t="str">
        <f>RUBRICA!A7</f>
        <v>3. Relaciona el Proyecto APT con sus intereses profesionales. *</v>
      </c>
      <c r="C54" s="33" t="s">
        <v>7</v>
      </c>
      <c r="D54" s="16" t="s">
        <v>98</v>
      </c>
      <c r="E54" s="16">
        <v>10</v>
      </c>
      <c r="F54" s="16" t="str">
        <f t="shared" ref="F54:F55" si="39">IF($C54=L,"X","")</f>
        <v/>
      </c>
      <c r="G54" s="16" t="str">
        <f>IF(F54="X",60*0.1,"")</f>
        <v/>
      </c>
      <c r="H54" s="16" t="str">
        <f t="shared" ref="H54:H55" si="40">IF($C54=ML,"X","")</f>
        <v/>
      </c>
      <c r="I54" s="16" t="str">
        <f>IF(H54="X",30*0.1,"")</f>
        <v/>
      </c>
      <c r="J54" s="16" t="str">
        <f t="shared" ref="J54:J55" si="41">IF($C54=NL,"X","")</f>
        <v/>
      </c>
      <c r="K54" s="16" t="str">
        <f t="shared" ref="K54:K55" si="42">IF($J54="X",0,"")</f>
        <v/>
      </c>
    </row>
    <row r="55" spans="1:11" ht="24" x14ac:dyDescent="0.25">
      <c r="A55" s="61"/>
      <c r="B55" s="35" t="str">
        <f>RUBRICA!A15</f>
        <v>11. Expone el tema utilizando un lenguaje técnico disciplinar al presentar la propuesta y responde evidenciando un manejo de la información. *</v>
      </c>
      <c r="C55" s="33" t="s">
        <v>7</v>
      </c>
      <c r="D55" s="16" t="s">
        <v>98</v>
      </c>
      <c r="E55" s="16">
        <v>10</v>
      </c>
      <c r="F55" s="16" t="str">
        <f t="shared" si="39"/>
        <v/>
      </c>
      <c r="G55" s="16" t="str">
        <f>IF(F55="X",60*0.1,"")</f>
        <v/>
      </c>
      <c r="H55" s="16" t="str">
        <f t="shared" si="40"/>
        <v/>
      </c>
      <c r="I55" s="16" t="str">
        <f>IF(H55="X",30*0.1,"")</f>
        <v/>
      </c>
      <c r="J55" s="16" t="str">
        <f t="shared" si="41"/>
        <v/>
      </c>
      <c r="K55" s="16" t="str">
        <f t="shared" si="42"/>
        <v/>
      </c>
    </row>
    <row r="56" spans="1:11" ht="15.75" customHeight="1" x14ac:dyDescent="0.25">
      <c r="A56" s="61"/>
      <c r="B56" s="35" t="str">
        <f>RUBRICA!A17</f>
        <v>13. Colaboración y trabajo en equipo *</v>
      </c>
      <c r="C56" s="33" t="s">
        <v>7</v>
      </c>
      <c r="D56" s="16" t="s">
        <v>98</v>
      </c>
      <c r="E56" s="16">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COUNTIF(D54:D56,"X")</f>
        <v>3</v>
      </c>
      <c r="E57" s="19">
        <f>SUM(E54:E56)</f>
        <v>30</v>
      </c>
      <c r="F57" s="19">
        <f t="shared" ref="F57" si="43">SUM(F54:F56)</f>
        <v>0</v>
      </c>
      <c r="G57" s="19">
        <f t="shared" ref="G57" si="44">SUM(G54:G56)</f>
        <v>0</v>
      </c>
      <c r="H57" s="19">
        <f t="shared" ref="H57" si="45">SUM(H54:H56)</f>
        <v>0</v>
      </c>
      <c r="I57" s="19">
        <f t="shared" ref="I57" si="46">SUM(I54:I56)</f>
        <v>0</v>
      </c>
      <c r="J57" s="19">
        <f t="shared" ref="J57" si="47">SUM(J54:J56)</f>
        <v>0</v>
      </c>
      <c r="K57" s="19">
        <f t="shared" ref="K57" si="48">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8" zoomScale="171"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5.1"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3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Gonzalo Arenas</cp:lastModifiedBy>
  <cp:revision/>
  <dcterms:created xsi:type="dcterms:W3CDTF">2023-08-07T04:08:01Z</dcterms:created>
  <dcterms:modified xsi:type="dcterms:W3CDTF">2026-09-28T17:35:47Z</dcterms:modified>
  <cp:category/>
  <cp:contentStatus/>
</cp:coreProperties>
</file>